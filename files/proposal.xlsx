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bookViews>
  <sheets>
    <sheet name="中国区项目计划书" sheetId="1" r:id="rId1"/>
    <sheet name="汇总" sheetId="2" state="hidden" r:id="rId2"/>
  </sheets>
  <calcPr calcId="152511"/>
</workbook>
</file>

<file path=xl/calcChain.xml><?xml version="1.0" encoding="utf-8"?>
<calcChain xmlns="http://schemas.openxmlformats.org/spreadsheetml/2006/main">
  <c r="AI2" i="2" l="1"/>
  <c r="AH2" i="2"/>
  <c r="AG2" i="2"/>
  <c r="AF2" i="2"/>
  <c r="AE2" i="2"/>
  <c r="AD2" i="2"/>
  <c r="AC2" i="2"/>
  <c r="AB2" i="2"/>
  <c r="AA2" i="2"/>
  <c r="Z2" i="2"/>
  <c r="Y2" i="2"/>
  <c r="X2" i="2"/>
  <c r="W2" i="2"/>
  <c r="V2" i="2"/>
  <c r="U2" i="2"/>
  <c r="T2" i="2"/>
  <c r="S2" i="2"/>
  <c r="R2" i="2"/>
  <c r="Q2" i="2"/>
  <c r="P2" i="2"/>
  <c r="O2" i="2"/>
  <c r="N2" i="2"/>
  <c r="K2" i="2"/>
  <c r="M2" i="2"/>
  <c r="L2" i="2"/>
  <c r="J2" i="2"/>
  <c r="I2" i="2"/>
  <c r="H2" i="2"/>
  <c r="G2" i="2"/>
  <c r="F2" i="2"/>
  <c r="E2" i="2"/>
  <c r="D2" i="2"/>
  <c r="C2" i="2"/>
  <c r="B2" i="2"/>
  <c r="A2" i="2"/>
</calcChain>
</file>

<file path=xl/sharedStrings.xml><?xml version="1.0" encoding="utf-8"?>
<sst xmlns="http://schemas.openxmlformats.org/spreadsheetml/2006/main" count="115" uniqueCount="98">
  <si>
    <t>队长姓名</t>
  </si>
  <si>
    <t>电子邮箱</t>
  </si>
  <si>
    <t>团队新浪微博账号</t>
  </si>
  <si>
    <t>参赛项目</t>
  </si>
  <si>
    <t>电话</t>
  </si>
  <si>
    <r>
      <t>IC</t>
    </r>
    <r>
      <rPr>
        <b/>
        <sz val="10"/>
        <color theme="1"/>
        <rFont val="Microsoft YaHei"/>
        <family val="2"/>
      </rPr>
      <t>站点注册</t>
    </r>
    <r>
      <rPr>
        <b/>
        <sz val="10"/>
        <color theme="1"/>
        <rFont val="Arial"/>
        <family val="2"/>
      </rPr>
      <t>Email</t>
    </r>
  </si>
  <si>
    <t>Imagine Cup 2016 微软“创新杯”全球学生科技大赛</t>
  </si>
  <si>
    <t>团队信息</t>
  </si>
  <si>
    <t>院系/年级</t>
  </si>
  <si>
    <t>学校名称</t>
  </si>
  <si>
    <t>参赛队伍名称</t>
  </si>
  <si>
    <t>参赛作品名称</t>
  </si>
  <si>
    <t>联系电话</t>
  </si>
  <si>
    <t>邮寄地址</t>
  </si>
  <si>
    <t>参赛区域/校区</t>
  </si>
  <si>
    <t>(如果参加了区域选拔赛，请填写所参赛的区域或校区；未参加区域选拔赛的团队请忽略此项)</t>
  </si>
  <si>
    <t>世界公民（World Citizenship）</t>
  </si>
  <si>
    <t>游戏（Games）</t>
  </si>
  <si>
    <t>最佳创新（Innovation）</t>
  </si>
  <si>
    <t>Project Design Preliminary Summary：</t>
  </si>
  <si>
    <t>Project Name：</t>
  </si>
  <si>
    <t>2. 市场分析</t>
  </si>
  <si>
    <t>3. 影响力/创新性/娱乐性 分析（请根据投稿竞赛单元选择）</t>
  </si>
  <si>
    <t>a) 作品的灵感从何而来？
b) 作品针对的目标用户群体是什么？该用户群体有何特点？
c) 作品的使用场景是什么？
d) 市场上是否有类似的作品？参赛的作品和已有的作品有何不同？</t>
  </si>
  <si>
    <t>4. 商业模式</t>
  </si>
  <si>
    <t>a) 商业模式是否有可实施的计划？
b) 作品完成过程中是否有外部市场调查，焦点小组测试和beta测试的计划？</t>
  </si>
  <si>
    <t>a) 系统计划选用什么技术平台？采用什么样的架构？
b) 系统采用的开发环境是什么？系统的运行环境是什么？
c) 系统计划有哪些功能？上述功能有何特点？</t>
  </si>
  <si>
    <t>6. 团队组成和分工</t>
  </si>
  <si>
    <t>a) 团队各成员是如何分工的？</t>
  </si>
  <si>
    <t> 所有团队成员必须在2015年12月31日前在www.imaginecup.com完成注册和组队
 团队在2015年12月31日前可以对团员和指导教师进行修改，2015年12月31日后不接受团队信息的修改
 团队成员信息以在www.imaginecup.com上注册的信息为准，该信息将作为我们颁发相关证书的依据</t>
  </si>
  <si>
    <t>参赛信息</t>
  </si>
  <si>
    <t>项目计划书</t>
  </si>
  <si>
    <t>中国区初赛  参赛作品说明</t>
  </si>
  <si>
    <t>Imagine Cup 微软“创新杯”全球学生大赛是目前全球规模最大、影响最广的学生科技大赛。自2003年创办以来，已有 190 多个国家和地区，超过 165 万名学生参与了“创新杯”比赛及相关活动。
参赛学生可以在这个平台上释放他们的创意和技术才能，在最新的技术平台上创建一流的科技解决方案，将创意变为商业现实。
Imagine Cup 2016 比赛已经启动。全球总决赛将于 2016 年 7 月在美国西雅图举行。Imagine Cup 2016 设有世界公民（World Citizenship）、游戏（Games）和最佳创新（Innovation）三个比赛项目（Competitions）以及在线挑战赛项目（Challenges）。 
中国区比赛规则针对世界公民（World Citizenship）、游戏（Games）和最佳创新(Innovation)三个比赛项目而设立。所有挑战项目不设中国区比赛环节，参赛选手请访问 www.imaginecup.com 根据相关比赛规定和要求直接参与全球比赛。</t>
  </si>
  <si>
    <t>大赛中文站点：aka.ms/icchina</t>
  </si>
  <si>
    <t>联系我们：mschsp@microsoft.com</t>
  </si>
  <si>
    <t>大赛官方微博：新浪微博@微软创新杯</t>
  </si>
  <si>
    <t>选手一</t>
  </si>
  <si>
    <t>选手二</t>
  </si>
  <si>
    <t>选手三</t>
  </si>
  <si>
    <t>选手四</t>
  </si>
  <si>
    <t>导师</t>
  </si>
  <si>
    <t>学校名称2</t>
  </si>
  <si>
    <t>学校名称3</t>
  </si>
  <si>
    <t>院系/年级4</t>
  </si>
  <si>
    <t>电话5</t>
  </si>
  <si>
    <t>院系/年级3</t>
  </si>
  <si>
    <t>电话3</t>
  </si>
  <si>
    <t>IC站点注册Email3</t>
  </si>
  <si>
    <t>学校名称1</t>
  </si>
  <si>
    <t>院系/年级1</t>
  </si>
  <si>
    <t>电话1</t>
  </si>
  <si>
    <t>IC站点注册Email1</t>
  </si>
  <si>
    <t>院系/年级2</t>
  </si>
  <si>
    <t>电话2</t>
  </si>
  <si>
    <t>IC站点注册Email2</t>
  </si>
  <si>
    <t>学校名称4</t>
  </si>
  <si>
    <t>电话4</t>
  </si>
  <si>
    <t>IC站点注册Email4</t>
  </si>
  <si>
    <t>学校名称5</t>
  </si>
  <si>
    <t>院系/年级5</t>
  </si>
  <si>
    <t>IC站点注册Email5</t>
  </si>
  <si>
    <t>• 初赛项目计划书提交时间:
北京时间2015年12月31日23:59截止。如果你参加区域选拔赛，则区域赛第一轮的截止日期由所在区域或校区决定。
• 初赛项目计划书提交流程:
在初赛截止日期前，通过全球站点 www.imaginecup.com 在线提交项目计划书。
• 初赛项目计划书评审标准:
项目计划书清晰完整；
明确提出要解决的问题；
有初步且可行的解决方案设计；
注：部分区域赛可能要求提交项目可运行安装包以及其他参赛资料。参加区域选拔赛的同学请遵循各区域或校区的相关规定。
• 初赛评选流程：
提交初赛项目计划书2-3个工作周后将会收到是否进入复赛的通知。
项目计划书通过后即可开始进入项目开发阶段。
项目开发过程中可以对原计划进行修改。
项目计划书中，项目计划概述（英文）为必选部分，其余部分为建议部分
除概述部分之外，参赛团队通过简明回答模板中提出的问题来说明自己的项目计划，也可以选择自己认为最合适的表达形式和顺序来说明计划。
除概述部分之外，其他部分使用中文或英文皆可。</t>
  </si>
  <si>
    <t>1. Preliminary Summary项目概述（英文）（此部分为必选部分）</t>
  </si>
  <si>
    <t xml:space="preserve">5. 系统设计概述 
</t>
    <phoneticPr fontId="11" type="noConversion"/>
  </si>
  <si>
    <t>[世界公民]
a) 作品所能影响的地域范围或影响的人口数量？
b) 作品试图解决问题的现实意义？
c) 作品针对现有解决方案是否有创新或者改进？
[创新]
a) 作品是否具有创新性和突破性？
b) 作品是否有全新的功能或者在很大程度上提升了已有应用的功能？
[游戏]
a) 游戏的设计理念？
b) 游戏的设计如何引人入胜？</t>
    <phoneticPr fontId="11" type="noConversion"/>
  </si>
  <si>
    <t xml:space="preserve">       随着信息技术的迅速发展，广告的形式也变得多种多样，从最初单一的进行商品信息传播到现在发展成一个大文化产业，广告在我们生活中已经随处可见。近几年，随着交互技术的不断进步，人机交互的可能性变得越来越多，所以我们想利用最新的这种交互技术去设计广告，使广告的宣传效果更好，形式更加丰富。
       我们设计的交互式广告主要的使用场景主要分为两种，第一种是在公交车站上的广告牌、机场候机厅里的广告牌以及各大商场里的广告牌等公共区域，用交互式广告屏代替原来的滚动式广告屏，面向的人群主要为看到广告牌的路人。第二种是在各个公司里的产品展示屏，可以作为公司产品的介绍手段，面向的人群为公司的员工和参观公司的来访者，更加丰富的展示手段可以让他们对产品的印象更加深刻。
       交互式广告在国外一些品牌宣传中已有出现，例如可口可乐公司也做了3D互动广告，当人们从广告牌前走过时，会看到画面里的人跃起欢呼，与我们产生共鸣。微软也推出NUAds交互式广告平台，其中利用了Kinect的体感技术。而我们设计的交互式广告虽然也利用了Kinect体感技术，但用户和广告进行的体感交互是基于广告内容而进行设计的，不是所谓的“为了交互而交互”，同时我们利用机械表有很高的艺术价值和内涵并且交互形式更加丰富等优势，将它作为我们的广告内容，可以让用户与广告的交互更加自然，从而体现出交互式广告的创新之处。
</t>
    <phoneticPr fontId="11" type="noConversion"/>
  </si>
  <si>
    <t xml:space="preserve">       由于交互式广告投入市场需要对已有的广告牌或者广告屏进行改造，并且广告视频内容需要进行针对性设计，所以将它直接投入市场或者寻求与广告公司的合作是不可取的。我们是在广告呈现模式上进行创新，利用了机械表作为我们包装的内容，所以我们将产品销售的目标客户定位在各大制表公司，直接寻求与他们的合作，争取形成“产学研”的模式，根据他们的要求和定位，我们对产品继续进行研究和修改，以达到合作的目的。我们希望通过寻求与一家制表公司的合作来推广我们的创新模式，各大公司再去寻求与广告公司进行合作，最后将产品推广到市场上。我们通过申请技术版权来对我们的技术进行保护，通过合作来进行盈利。
       在产品的研究过程中，我们会进行外部市场的调查，调查方向分为两方面，一方面调查路人对交互式广告这一创新的感兴趣程度，针对这一调查我们在研究过程中可以对产品的设计进行改进；另一方面我们会调查各大制表公司是否对我们的创新感兴趣，是否有合作的意向，针对这一调查可以对我们的商业模式进行调整。
</t>
    <phoneticPr fontId="11" type="noConversion"/>
  </si>
  <si>
    <t xml:space="preserve">       系统计划选用Kinect + Unity，Kinect进行动作捕捉，基于Unity引擎的程序进行逻辑驱动。选用Unity框架，开发语言为C#，运行环境为Windows。系统计划有判断（手势、状态）、驱动逻辑、动画显示这些模块，采用组块化编程来实现实时的数据交流，实现画随人动的广告展示。</t>
    <phoneticPr fontId="11" type="noConversion"/>
  </si>
  <si>
    <t xml:space="preserve">       【创新】将体感交互融入进广告中不仅丰富了广告的表现形式与内容，提高了广告的传播效果以及趣味性，也很大程度上体现了广告所具有的时代文化的结晶。我们设计的交互式广告主要的创新点有以下三点：
1、在人们不知道会和广告牌有交互的情况下，我们通过判断路过的人的动作来开启这则广告的交互视频，带给人们一种惊奇性，吸引人们主动去关注这个交互广告，让人们参与到广告中。
2、在交互视频中，产品的内容与用户的交互动作是紧密联系的，通过体感的交互可以更好的感受产品的特点并且带给人们更多的趣味性。
3、交互视频依据人们会做出的体感动作来制作，并且包含的广告信息内容也更加丰富，交互动作不仅仅是使视频继续，还将与视频内容相结合，给予观看者全新的体验。
       现在公共场合内主要的广告屏都是数字广告屏，广告屏在我们的生活中已经无处不在，如果把已有的体感技术——Kinect加入到广告屏中，并且制作出可以交互的广告视频，那对广告行业必将是一个巨大的发展，在交互式广告中带给人们的体验和在现有的广告屏上的体验是完全不同的。所以，将Kinect加入到广告屏中并且制作出独特的交互式广告视频是我们最大的一个创新点。
</t>
    <phoneticPr fontId="11" type="noConversion"/>
  </si>
  <si>
    <t>DogePlus</t>
    <phoneticPr fontId="11" type="noConversion"/>
  </si>
  <si>
    <t>基于Kinect的交互式广告展示</t>
    <phoneticPr fontId="11" type="noConversion"/>
  </si>
  <si>
    <t>刘宸</t>
    <phoneticPr fontId="11" type="noConversion"/>
  </si>
  <si>
    <t>北京邮电大学</t>
    <phoneticPr fontId="11" type="noConversion"/>
  </si>
  <si>
    <t>cyoc@foxmail.com</t>
    <phoneticPr fontId="11" type="noConversion"/>
  </si>
  <si>
    <t>北京市海淀区西土城路10号北京邮电大学</t>
    <phoneticPr fontId="11" type="noConversion"/>
  </si>
  <si>
    <t>概述应简单描述团队参赛项目的基本设计，总结解决方案的独特功能以及它如何回应所参加的比赛项目对参赛作品的要求。同时，该总结应归纳在参赛作品中计划使用的任何第三方内容。概述部分不得少于600字符（包括空格）。</t>
    <phoneticPr fontId="11" type="noConversion"/>
  </si>
  <si>
    <t>dogeplus@126.com</t>
    <phoneticPr fontId="11" type="noConversion"/>
  </si>
  <si>
    <t>姓名</t>
    <phoneticPr fontId="11" type="noConversion"/>
  </si>
  <si>
    <t>刘宸</t>
    <phoneticPr fontId="11" type="noConversion"/>
  </si>
  <si>
    <t>吕佳</t>
    <phoneticPr fontId="11" type="noConversion"/>
  </si>
  <si>
    <t>杨丹雯</t>
    <phoneticPr fontId="11" type="noConversion"/>
  </si>
  <si>
    <t>章达闻</t>
    <phoneticPr fontId="11" type="noConversion"/>
  </si>
  <si>
    <t>&lt;导师&gt;李萌</t>
    <phoneticPr fontId="11" type="noConversion"/>
  </si>
  <si>
    <t>北京邮电大学</t>
    <phoneticPr fontId="11" type="noConversion"/>
  </si>
  <si>
    <t>数字媒体与设计艺术学院/2013级</t>
    <phoneticPr fontId="11" type="noConversion"/>
  </si>
  <si>
    <t>数字媒体与设计艺术学院/2013级</t>
    <phoneticPr fontId="11" type="noConversion"/>
  </si>
  <si>
    <t>数字媒体与设计艺术学院/2013级</t>
    <phoneticPr fontId="11" type="noConversion"/>
  </si>
  <si>
    <r>
      <rPr>
        <sz val="10"/>
        <color theme="1"/>
        <rFont val="宋体"/>
        <family val="3"/>
        <charset val="134"/>
      </rPr>
      <t>数字媒体与设计艺术学院</t>
    </r>
    <r>
      <rPr>
        <sz val="10"/>
        <color theme="1"/>
        <rFont val="Arial"/>
        <family val="2"/>
      </rPr>
      <t/>
    </r>
    <phoneticPr fontId="11" type="noConversion"/>
  </si>
  <si>
    <t>cyocliu@outlook.com</t>
    <phoneticPr fontId="11" type="noConversion"/>
  </si>
  <si>
    <t>刘宸负责组织大家工作，以及交互式广告视频的制作。吕佳在此次项目中主要负责交互式广告视频的制作以及设计广告的表现形式。杨丹雯在此次项目中主要负责设计交互式广告的内容，参与Kinect的算法研究。章达闻在此次项目中负责设计整体程序框架，以及研究kinect如何捕捉不同情况下人体的动作。</t>
    <phoneticPr fontId="11" type="noConversion"/>
  </si>
  <si>
    <t>This is an interactive advertisement based on Kinect. It breaks the traditional one-way mode of adv information transmission in which it is only from the advertiser to the customer. It enables the potential customers to be one of the developers. We will be using public advertising screen to show our advertisement. The adv videos will be opened by recognising people's actions. Meantime people will be attracted by this innovation and caught attention. The basic interactive motions in the advertisement will help people know more about the products.
We will be using mechanical watch as the subject of this innovative advertising method as mechanical watch possess both artistic values and interactive opportunities. When Kinect catches the actions pre-set by the developers, the time-gate in the adv video will open automatically. The user would now be able to interact with the video by using hands. The internal and outside structures of the watch will be shown to the user in a 3-D dimension. The instant-motion-catching function of Kinect will record how many times the user waves his arms and calculate how long a watch can be powered by the energy provided this arm-waving motion. We aim to achieve better promotion effects by using this interactive advertising mode and produce better visual effects to show the products.
In order to enhance the recognizing precision of Kinect and give our users a better experience, we used detection method based on Kinect in-depth statistics. We removed the background to get the depth area where the person is, thereby lifting the whole subject by using algorithm for regional growth. By using depth data，skeleton data，gesture state and extraction and display of people binary image to catch the users' gestures as precisely as possible.
In order to enhance the interactive possibility, we combined the interactive motions with the content of the adv video. We produced the video by these interactive motions but not just for the sake of being interactive. We aim to let people be more attracted by the advertisement and enhance the content of the adv.</t>
    <phoneticPr fontId="11" type="noConversion"/>
  </si>
  <si>
    <t>The interactive advertisement display based on Kinect</t>
    <phoneticPr fontId="11" type="noConversion"/>
  </si>
  <si>
    <t>thisislimeng@foxmail.com</t>
    <phoneticPr fontId="11" type="noConversion"/>
  </si>
  <si>
    <t>zdwchang@gmail.com</t>
    <phoneticPr fontId="11" type="noConversion"/>
  </si>
  <si>
    <t>zoeyangdw@hotmail.com</t>
    <phoneticPr fontId="11" type="noConversion"/>
  </si>
  <si>
    <t>yogalv@hotmail.com</t>
    <phoneticPr fontId="11" type="noConversion"/>
  </si>
  <si>
    <t>中国区比赛项目计划书</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</si>
</sst>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14">
    <font>
      <sz val="11"/>
      <color theme="1"/>
      <name val="宋体"/>
      <family val="2"/>
      <scheme val="minor"/>
    </font>
    <font>
      <sz val="11"/>
      <color theme="0"/>
      <name val="宋体"/>
      <family val="2"/>
      <scheme val="minor"/>
    </font>
    <font>
      <b/>
      <sz val="10"/>
      <color theme="1"/>
      <name val="Microsoft YaHei"/>
      <family val="2"/>
    </font>
    <font>
      <b/>
      <sz val="10"/>
      <color theme="1"/>
      <name val="Arial"/>
      <family val="2"/>
    </font>
    <font>
      <sz val="10"/>
      <color rgb="FFA6A6A6"/>
      <name val="Arial"/>
      <family val="2"/>
    </font>
    <font>
      <sz val="10"/>
      <color theme="1"/>
      <name val="Arial"/>
      <family val="2"/>
    </font>
    <font>
      <b/>
      <sz val="21.5"/>
      <color rgb="FF7030A0"/>
      <name val="Microsoft YaHei"/>
      <family val="2"/>
    </font>
    <font>
      <b/>
      <sz val="22.5"/>
      <color rgb="FF7030A0"/>
      <name val="Microsoft YaHei"/>
      <family val="2"/>
    </font>
    <font>
      <b/>
      <sz val="11"/>
      <color theme="0"/>
      <name val="Microsoft YaHei"/>
      <family val="2"/>
    </font>
    <font>
      <b/>
      <sz val="11"/>
      <color rgb="FF7030A0"/>
      <name val="Microsoft YaHei"/>
      <family val="2"/>
    </font>
    <font>
      <b/>
      <sz val="10"/>
      <color rgb="FF7030A0"/>
      <name val="Microsoft YaHei"/>
      <family val="2"/>
    </font>
    <font>
      <sz val="9"/>
      <name val="宋体"/>
      <family val="3"/>
      <charset val="134"/>
      <scheme val="minor"/>
    </font>
    <font>
      <u/>
      <sz val="11"/>
      <color theme="10"/>
      <name val="宋体"/>
      <family val="2"/>
      <scheme val="minor"/>
    </font>
    <font>
      <sz val="10"/>
      <color theme="1"/>
      <name val="宋体"/>
      <family val="3"/>
      <charset val="134"/>
    </font>
  </fonts>
  <fills count="5">
    <fill>
      <patternFill patternType="none"/>
    </fill>
    <fill>
      <patternFill patternType="gray125"/>
    </fill>
    <fill>
      <patternFill patternType="solid">
        <fgColor theme="0"/>
        <bgColor indexed="64"/>
      </patternFill>
    </fill>
    <fill>
      <patternFill patternType="solid">
        <fgColor theme="1"/>
        <bgColor indexed="64"/>
      </patternFill>
    </fill>
    <fill>
      <patternFill patternType="solid">
        <fgColor rgb="FFEAEAEA"/>
        <bgColor indexed="64"/>
      </patternFill>
    </fill>
  </fills>
  <borders count="23">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theme="7" tint="-0.499984740745262"/>
      </left>
      <right style="medium">
        <color theme="7" tint="-0.499984740745262"/>
      </right>
      <top style="medium">
        <color theme="7" tint="-0.499984740745262"/>
      </top>
      <bottom style="medium">
        <color theme="7" tint="-0.499984740745262"/>
      </bottom>
      <diagonal/>
    </border>
    <border>
      <left/>
      <right/>
      <top style="medium">
        <color theme="7" tint="-0.499984740745262"/>
      </top>
      <bottom style="medium">
        <color theme="7" tint="-0.499984740745262"/>
      </bottom>
      <diagonal/>
    </border>
    <border>
      <left style="medium">
        <color indexed="64"/>
      </left>
      <right/>
      <top style="medium">
        <color theme="7" tint="-0.499984740745262"/>
      </top>
      <bottom style="medium">
        <color indexed="64"/>
      </bottom>
      <diagonal/>
    </border>
    <border>
      <left/>
      <right/>
      <top style="medium">
        <color theme="7" tint="-0.499984740745262"/>
      </top>
      <bottom style="medium">
        <color indexed="64"/>
      </bottom>
      <diagonal/>
    </border>
    <border>
      <left/>
      <right style="medium">
        <color indexed="64"/>
      </right>
      <top style="medium">
        <color theme="7" tint="-0.499984740745262"/>
      </top>
      <bottom style="medium">
        <color indexed="64"/>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style="thin">
        <color auto="1"/>
      </top>
      <bottom/>
      <diagonal/>
    </border>
    <border>
      <left style="medium">
        <color theme="7" tint="-0.499984740745262"/>
      </left>
      <right/>
      <top style="medium">
        <color theme="7" tint="-0.499984740745262"/>
      </top>
      <bottom style="medium">
        <color theme="7" tint="-0.499984740745262"/>
      </bottom>
      <diagonal/>
    </border>
    <border>
      <left/>
      <right style="medium">
        <color theme="7" tint="-0.499984740745262"/>
      </right>
      <top style="medium">
        <color theme="7" tint="-0.499984740745262"/>
      </top>
      <bottom style="medium">
        <color theme="7" tint="-0.499984740745262"/>
      </bottom>
      <diagonal/>
    </border>
    <border>
      <left style="medium">
        <color theme="7" tint="-0.499984740745262"/>
      </left>
      <right/>
      <top style="medium">
        <color theme="7" tint="-0.499984740745262"/>
      </top>
      <bottom style="medium">
        <color indexed="64"/>
      </bottom>
      <diagonal/>
    </border>
    <border>
      <left/>
      <right style="medium">
        <color theme="7" tint="-0.499984740745262"/>
      </right>
      <top style="medium">
        <color theme="7" tint="-0.499984740745262"/>
      </top>
      <bottom style="medium">
        <color indexed="64"/>
      </bottom>
      <diagonal/>
    </border>
  </borders>
  <cellStyleXfs count="2">
    <xf numFmtId="0" fontId="0" fillId="0" borderId="0"/>
    <xf numFmtId="0" fontId="12" fillId="0" borderId="0" applyNumberFormat="0" applyFill="0" applyBorder="0" applyAlignment="0" applyProtection="0"/>
  </cellStyleXfs>
  <cellXfs count="55">
    <xf numFmtId="0" fontId="0" fillId="0" borderId="0" xfId="0"/>
    <xf numFmtId="0" fontId="2" fillId="0" borderId="2" xfId="0" applyFont="1" applyBorder="1" applyAlignment="1">
      <alignment horizontal="center" vertical="center" wrapText="1"/>
    </xf>
    <xf numFmtId="0" fontId="2" fillId="0" borderId="1" xfId="0" applyFont="1" applyBorder="1" applyAlignment="1">
      <alignment horizontal="center" vertical="center" wrapText="1"/>
    </xf>
    <xf numFmtId="0" fontId="3" fillId="0" borderId="2" xfId="0" applyFont="1" applyBorder="1" applyAlignment="1">
      <alignment horizontal="center" vertical="center" wrapText="1"/>
    </xf>
    <xf numFmtId="0" fontId="5" fillId="0" borderId="3" xfId="0" applyFont="1" applyBorder="1" applyAlignment="1">
      <alignment horizontal="center" vertical="center" wrapText="1"/>
    </xf>
    <xf numFmtId="0" fontId="0" fillId="0" borderId="0" xfId="0" applyAlignment="1">
      <alignment horizontal="center"/>
    </xf>
    <xf numFmtId="0" fontId="2" fillId="0" borderId="7" xfId="0" applyFont="1" applyBorder="1" applyAlignment="1">
      <alignment horizontal="center" vertical="center" wrapText="1"/>
    </xf>
    <xf numFmtId="0" fontId="1" fillId="0" borderId="0" xfId="0" applyFont="1"/>
    <xf numFmtId="0" fontId="0" fillId="0" borderId="0" xfId="0" applyAlignment="1">
      <alignment horizontal="left"/>
    </xf>
    <xf numFmtId="0" fontId="10" fillId="0" borderId="1" xfId="0" applyFont="1" applyBorder="1" applyAlignment="1">
      <alignment horizontal="left" vertical="center" wrapText="1"/>
    </xf>
    <xf numFmtId="1" fontId="5" fillId="0" borderId="3" xfId="0" applyNumberFormat="1" applyFont="1" applyBorder="1" applyAlignment="1">
      <alignment horizontal="center" vertical="center" wrapText="1"/>
    </xf>
    <xf numFmtId="49" fontId="12" fillId="0" borderId="3" xfId="1" applyNumberFormat="1" applyBorder="1" applyAlignment="1">
      <alignment horizontal="center" vertical="center" wrapText="1"/>
    </xf>
    <xf numFmtId="0" fontId="13" fillId="0" borderId="3" xfId="0" applyFont="1" applyBorder="1" applyAlignment="1">
      <alignment horizontal="center" vertical="center" wrapText="1"/>
    </xf>
    <xf numFmtId="0" fontId="9" fillId="2" borderId="12" xfId="0" applyFont="1" applyFill="1" applyBorder="1" applyAlignment="1">
      <alignment horizontal="left" vertical="center" wrapText="1"/>
    </xf>
    <xf numFmtId="0" fontId="9" fillId="2" borderId="0" xfId="0" applyFont="1" applyFill="1" applyBorder="1" applyAlignment="1">
      <alignment horizontal="left" vertical="center" wrapText="1"/>
    </xf>
    <xf numFmtId="0" fontId="9" fillId="2" borderId="4" xfId="0" applyFont="1" applyFill="1" applyBorder="1" applyAlignment="1">
      <alignment horizontal="left" vertical="center" wrapText="1"/>
    </xf>
    <xf numFmtId="0" fontId="6" fillId="0" borderId="18" xfId="0" applyFont="1" applyBorder="1" applyAlignment="1">
      <alignment horizontal="center"/>
    </xf>
    <xf numFmtId="0" fontId="7" fillId="0" borderId="0" xfId="0" applyFont="1" applyAlignment="1">
      <alignment horizontal="center" vertical="top"/>
    </xf>
    <xf numFmtId="0" fontId="8" fillId="3" borderId="19" xfId="0" applyFont="1" applyFill="1" applyBorder="1" applyAlignment="1">
      <alignment horizontal="center" vertical="center"/>
    </xf>
    <xf numFmtId="0" fontId="8" fillId="3" borderId="8" xfId="0" applyFont="1" applyFill="1" applyBorder="1" applyAlignment="1">
      <alignment horizontal="center" vertical="center"/>
    </xf>
    <xf numFmtId="0" fontId="8" fillId="3" borderId="20" xfId="0" applyFont="1" applyFill="1" applyBorder="1" applyAlignment="1">
      <alignment horizontal="center" vertical="center"/>
    </xf>
    <xf numFmtId="0" fontId="8" fillId="3" borderId="21" xfId="0" applyFont="1" applyFill="1" applyBorder="1" applyAlignment="1">
      <alignment horizontal="center" vertical="center"/>
    </xf>
    <xf numFmtId="0" fontId="8" fillId="3" borderId="10" xfId="0" applyFont="1" applyFill="1" applyBorder="1" applyAlignment="1">
      <alignment horizontal="center" vertical="center"/>
    </xf>
    <xf numFmtId="0" fontId="8" fillId="3" borderId="22" xfId="0" applyFont="1" applyFill="1" applyBorder="1" applyAlignment="1">
      <alignment horizontal="center" vertical="center"/>
    </xf>
    <xf numFmtId="0" fontId="2" fillId="0" borderId="7" xfId="0" applyFont="1" applyBorder="1" applyAlignment="1">
      <alignment horizontal="center" vertical="center" wrapText="1"/>
    </xf>
    <xf numFmtId="0" fontId="4" fillId="0" borderId="9" xfId="0" applyFont="1" applyBorder="1" applyAlignment="1">
      <alignment horizontal="center" vertical="center" wrapText="1"/>
    </xf>
    <xf numFmtId="0" fontId="4" fillId="0" borderId="10" xfId="0" applyFont="1" applyBorder="1" applyAlignment="1">
      <alignment horizontal="center" vertical="center" wrapText="1"/>
    </xf>
    <xf numFmtId="0" fontId="4" fillId="0" borderId="11" xfId="0" applyFont="1" applyBorder="1" applyAlignment="1">
      <alignment horizontal="center" vertical="center" wrapText="1"/>
    </xf>
    <xf numFmtId="49" fontId="12" fillId="0" borderId="7" xfId="1" applyNumberFormat="1" applyBorder="1" applyAlignment="1">
      <alignment horizontal="center" vertical="center" wrapText="1"/>
    </xf>
    <xf numFmtId="49" fontId="2" fillId="0" borderId="7" xfId="0" applyNumberFormat="1" applyFont="1" applyBorder="1" applyAlignment="1">
      <alignment horizontal="center" vertical="center" wrapText="1"/>
    </xf>
    <xf numFmtId="0" fontId="2" fillId="0" borderId="6" xfId="0" applyFont="1" applyBorder="1" applyAlignment="1">
      <alignment horizontal="center" vertical="center" wrapText="1"/>
    </xf>
    <xf numFmtId="0" fontId="2" fillId="0" borderId="5" xfId="0" applyFont="1" applyBorder="1" applyAlignment="1">
      <alignment horizontal="center" vertical="center" wrapText="1"/>
    </xf>
    <xf numFmtId="0" fontId="2" fillId="0" borderId="2" xfId="0" applyFont="1" applyBorder="1" applyAlignment="1">
      <alignment horizontal="center" vertical="center" wrapText="1"/>
    </xf>
    <xf numFmtId="0" fontId="10" fillId="0" borderId="13" xfId="0" applyFont="1" applyBorder="1" applyAlignment="1">
      <alignment horizontal="left" vertical="center" wrapText="1"/>
    </xf>
    <xf numFmtId="0" fontId="2" fillId="0" borderId="12" xfId="0" applyFont="1" applyBorder="1" applyAlignment="1">
      <alignment horizontal="left" vertical="center" wrapText="1"/>
    </xf>
    <xf numFmtId="0" fontId="2" fillId="0" borderId="14" xfId="0" applyFont="1" applyBorder="1" applyAlignment="1">
      <alignment horizontal="left" vertical="center" wrapText="1"/>
    </xf>
    <xf numFmtId="0" fontId="12" fillId="0" borderId="7" xfId="1" applyBorder="1" applyAlignment="1">
      <alignment horizontal="center" vertical="center" wrapText="1"/>
    </xf>
    <xf numFmtId="0" fontId="9" fillId="4" borderId="12" xfId="0" applyFont="1" applyFill="1" applyBorder="1" applyAlignment="1">
      <alignment horizontal="left" vertical="center" wrapText="1"/>
    </xf>
    <xf numFmtId="0" fontId="9" fillId="4" borderId="12" xfId="0" applyFont="1" applyFill="1" applyBorder="1" applyAlignment="1">
      <alignment horizontal="left" vertical="center"/>
    </xf>
    <xf numFmtId="0" fontId="10" fillId="4" borderId="4" xfId="0" applyFont="1" applyFill="1" applyBorder="1" applyAlignment="1">
      <alignment horizontal="left" vertical="center" wrapText="1"/>
    </xf>
    <xf numFmtId="0" fontId="2" fillId="0" borderId="13" xfId="0" applyFont="1" applyBorder="1" applyAlignment="1">
      <alignment horizontal="left" vertical="center" wrapText="1"/>
    </xf>
    <xf numFmtId="0" fontId="2" fillId="0" borderId="15" xfId="0" applyFont="1" applyBorder="1" applyAlignment="1">
      <alignment horizontal="left" vertical="center" wrapText="1"/>
    </xf>
    <xf numFmtId="0" fontId="2" fillId="0" borderId="0" xfId="0" applyFont="1" applyBorder="1" applyAlignment="1">
      <alignment horizontal="left" vertical="center" wrapText="1"/>
    </xf>
    <xf numFmtId="0" fontId="2" fillId="0" borderId="16" xfId="0" applyFont="1" applyBorder="1" applyAlignment="1">
      <alignment horizontal="left" vertical="center" wrapText="1"/>
    </xf>
    <xf numFmtId="0" fontId="2" fillId="0" borderId="17" xfId="0" applyFont="1" applyBorder="1" applyAlignment="1">
      <alignment horizontal="left" vertical="center" wrapText="1"/>
    </xf>
    <xf numFmtId="0" fontId="2" fillId="0" borderId="4" xfId="0" applyFont="1" applyBorder="1" applyAlignment="1">
      <alignment horizontal="left" vertical="center" wrapText="1"/>
    </xf>
    <xf numFmtId="0" fontId="2" fillId="0" borderId="3" xfId="0" applyFont="1" applyBorder="1" applyAlignment="1">
      <alignment horizontal="left" vertical="center" wrapText="1"/>
    </xf>
    <xf numFmtId="0" fontId="10" fillId="4" borderId="4" xfId="0" applyFont="1" applyFill="1" applyBorder="1" applyAlignment="1">
      <alignment horizontal="left" vertical="top" wrapText="1"/>
    </xf>
    <xf numFmtId="0" fontId="8" fillId="3" borderId="6" xfId="0" applyFont="1" applyFill="1" applyBorder="1" applyAlignment="1">
      <alignment horizontal="center" vertical="center"/>
    </xf>
    <xf numFmtId="0" fontId="8" fillId="3" borderId="5" xfId="0" applyFont="1" applyFill="1" applyBorder="1" applyAlignment="1">
      <alignment horizontal="center" vertical="center"/>
    </xf>
    <xf numFmtId="0" fontId="8" fillId="3" borderId="2" xfId="0" applyFont="1" applyFill="1" applyBorder="1" applyAlignment="1">
      <alignment horizontal="center" vertical="center"/>
    </xf>
    <xf numFmtId="0" fontId="10" fillId="4" borderId="12" xfId="0" applyFont="1" applyFill="1" applyBorder="1" applyAlignment="1">
      <alignment horizontal="left" vertical="center" wrapText="1"/>
    </xf>
    <xf numFmtId="0" fontId="10" fillId="4" borderId="12" xfId="0" applyFont="1" applyFill="1" applyBorder="1" applyAlignment="1">
      <alignment horizontal="left" vertical="center"/>
    </xf>
    <xf numFmtId="0" fontId="10" fillId="4" borderId="5" xfId="0" applyFont="1" applyFill="1" applyBorder="1" applyAlignment="1">
      <alignment horizontal="center" vertical="top" wrapText="1"/>
    </xf>
    <xf numFmtId="0" fontId="8" fillId="3" borderId="6" xfId="0" applyFont="1" applyFill="1" applyBorder="1" applyAlignment="1">
      <alignment horizontal="center" vertical="center" wrapText="1"/>
    </xf>
  </cellXfs>
  <cellStyles count="2">
    <cellStyle name="常规" xfId="0" builtinId="0"/>
    <cellStyle name="超链接" xfId="1" builtinId="8"/>
  </cellStyles>
  <dxfs count="0"/>
  <tableStyles count="0" defaultTableStyle="TableStyleMedium2" defaultPivotStyle="PivotStyleMedium9"/>
  <colors>
    <mruColors>
      <color rgb="FFEAEAEA"/>
      <color rgb="FFFFFFCC"/>
      <color rgb="FFDDDD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979954</xdr:colOff>
      <xdr:row>69</xdr:row>
      <xdr:rowOff>9525</xdr:rowOff>
    </xdr:from>
    <xdr:to>
      <xdr:col>6</xdr:col>
      <xdr:colOff>19050</xdr:colOff>
      <xdr:row>71</xdr:row>
      <xdr:rowOff>332733</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18654" y="25184100"/>
          <a:ext cx="3211046" cy="894708"/>
        </a:xfrm>
        <a:prstGeom prst="rect">
          <a:avLst/>
        </a:prstGeom>
      </xdr:spPr>
    </xdr:pic>
    <xdr:clientData/>
  </xdr:twoCellAnchor>
</xdr:wsDr>
</file>

<file path=xl/tables/table1.xml><?xml version="1.0" encoding="utf-8"?>
<table xmlns="http://schemas.openxmlformats.org/spreadsheetml/2006/main" id="1" name="Table1" displayName="Table1" ref="A1:AI2" totalsRowShown="0">
  <autoFilter ref="A1:AI2"/>
  <tableColumns count="35">
    <tableColumn id="1" name="参赛队伍名称">
      <calculatedColumnFormula>中国区项目计划书!C4</calculatedColumnFormula>
    </tableColumn>
    <tableColumn id="2" name="参赛作品名称">
      <calculatedColumnFormula>中国区项目计划书!C5</calculatedColumnFormula>
    </tableColumn>
    <tableColumn id="3" name="队长姓名">
      <calculatedColumnFormula>中国区项目计划书!C6</calculatedColumnFormula>
    </tableColumn>
    <tableColumn id="4" name="学校名称">
      <calculatedColumnFormula>中国区项目计划书!C7</calculatedColumnFormula>
    </tableColumn>
    <tableColumn id="5" name="联系电话">
      <calculatedColumnFormula>中国区项目计划书!C8</calculatedColumnFormula>
    </tableColumn>
    <tableColumn id="6" name="电子邮箱">
      <calculatedColumnFormula>中国区项目计划书!C9</calculatedColumnFormula>
    </tableColumn>
    <tableColumn id="7" name="邮寄地址">
      <calculatedColumnFormula>中国区项目计划书!C10</calculatedColumnFormula>
    </tableColumn>
    <tableColumn id="8" name="团队新浪微博账号">
      <calculatedColumnFormula>中国区项目计划书!C11</calculatedColumnFormula>
    </tableColumn>
    <tableColumn id="9" name="参赛区域/校区">
      <calculatedColumnFormula>中国区项目计划书!C12</calculatedColumnFormula>
    </tableColumn>
    <tableColumn id="10" name="参赛项目">
      <calculatedColumnFormula>中国区项目计划书!C13</calculatedColumnFormula>
    </tableColumn>
    <tableColumn id="11" name="选手一">
      <calculatedColumnFormula>中国区项目计划书!B17</calculatedColumnFormula>
    </tableColumn>
    <tableColumn id="12" name="学校名称1">
      <calculatedColumnFormula>中国区项目计划书!C17</calculatedColumnFormula>
    </tableColumn>
    <tableColumn id="13" name="院系/年级1">
      <calculatedColumnFormula>中国区项目计划书!D17</calculatedColumnFormula>
    </tableColumn>
    <tableColumn id="14" name="电话1">
      <calculatedColumnFormula>中国区项目计划书!E17</calculatedColumnFormula>
    </tableColumn>
    <tableColumn id="15" name="IC站点注册Email1">
      <calculatedColumnFormula>中国区项目计划书!F17</calculatedColumnFormula>
    </tableColumn>
    <tableColumn id="16" name="选手二">
      <calculatedColumnFormula>中国区项目计划书!B18</calculatedColumnFormula>
    </tableColumn>
    <tableColumn id="17" name="学校名称2">
      <calculatedColumnFormula>中国区项目计划书!C18</calculatedColumnFormula>
    </tableColumn>
    <tableColumn id="18" name="院系/年级2">
      <calculatedColumnFormula>中国区项目计划书!D18</calculatedColumnFormula>
    </tableColumn>
    <tableColumn id="19" name="电话2">
      <calculatedColumnFormula>中国区项目计划书!E18</calculatedColumnFormula>
    </tableColumn>
    <tableColumn id="20" name="IC站点注册Email2">
      <calculatedColumnFormula>中国区项目计划书!F18</calculatedColumnFormula>
    </tableColumn>
    <tableColumn id="21" name="选手三">
      <calculatedColumnFormula>中国区项目计划书!B19</calculatedColumnFormula>
    </tableColumn>
    <tableColumn id="22" name="学校名称3">
      <calculatedColumnFormula>中国区项目计划书!C19</calculatedColumnFormula>
    </tableColumn>
    <tableColumn id="23" name="院系/年级3">
      <calculatedColumnFormula>中国区项目计划书!D19</calculatedColumnFormula>
    </tableColumn>
    <tableColumn id="24" name="电话3">
      <calculatedColumnFormula>中国区项目计划书!E19</calculatedColumnFormula>
    </tableColumn>
    <tableColumn id="25" name="IC站点注册Email3">
      <calculatedColumnFormula>中国区项目计划书!F19</calculatedColumnFormula>
    </tableColumn>
    <tableColumn id="26" name="选手四">
      <calculatedColumnFormula>中国区项目计划书!B20</calculatedColumnFormula>
    </tableColumn>
    <tableColumn id="27" name="学校名称4">
      <calculatedColumnFormula>中国区项目计划书!C20</calculatedColumnFormula>
    </tableColumn>
    <tableColumn id="28" name="院系/年级4">
      <calculatedColumnFormula>中国区项目计划书!D20</calculatedColumnFormula>
    </tableColumn>
    <tableColumn id="29" name="电话4">
      <calculatedColumnFormula>中国区项目计划书!E20</calculatedColumnFormula>
    </tableColumn>
    <tableColumn id="30" name="IC站点注册Email4">
      <calculatedColumnFormula>中国区项目计划书!F20</calculatedColumnFormula>
    </tableColumn>
    <tableColumn id="31" name="导师">
      <calculatedColumnFormula>中国区项目计划书!B21</calculatedColumnFormula>
    </tableColumn>
    <tableColumn id="32" name="学校名称5">
      <calculatedColumnFormula>中国区项目计划书!C21</calculatedColumnFormula>
    </tableColumn>
    <tableColumn id="33" name="院系/年级5">
      <calculatedColumnFormula>中国区项目计划书!D21</calculatedColumnFormula>
    </tableColumn>
    <tableColumn id="34" name="电话5">
      <calculatedColumnFormula>中国区项目计划书!E21</calculatedColumnFormula>
    </tableColumn>
    <tableColumn id="35" name="IC站点注册Email5">
      <calculatedColumnFormula>中国区项目计划书!F21</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mailto:cyocliu@outlook.com" TargetMode="External"/><Relationship Id="rId7" Type="http://schemas.openxmlformats.org/officeDocument/2006/relationships/hyperlink" Target="mailto:yogalv@hotmail.com" TargetMode="External"/><Relationship Id="rId2" Type="http://schemas.openxmlformats.org/officeDocument/2006/relationships/hyperlink" Target="mailto:dogeplus@126.com" TargetMode="External"/><Relationship Id="rId1" Type="http://schemas.openxmlformats.org/officeDocument/2006/relationships/hyperlink" Target="mailto:cyoc@foxmail.com" TargetMode="External"/><Relationship Id="rId6" Type="http://schemas.openxmlformats.org/officeDocument/2006/relationships/hyperlink" Target="mailto:zoeyangdw@hotmail.com" TargetMode="External"/><Relationship Id="rId5" Type="http://schemas.openxmlformats.org/officeDocument/2006/relationships/hyperlink" Target="mailto:zdwchang@gmail.com" TargetMode="External"/><Relationship Id="rId4" Type="http://schemas.openxmlformats.org/officeDocument/2006/relationships/hyperlink" Target="mailto:thisislimeng@foxmail.com"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B1:L72"/>
  <sheetViews>
    <sheetView showGridLines="0" tabSelected="1" topLeftCell="A59" zoomScaleNormal="100" workbookViewId="0">
      <selection activeCell="G2" sqref="G2"/>
    </sheetView>
  </sheetViews>
  <sheetFormatPr defaultRowHeight="13.5"/>
  <cols>
    <col min="1" max="1" width="18.875" customWidth="1"/>
    <col min="2" max="2" width="20.375" style="5" customWidth="1"/>
    <col min="3" max="3" width="25.75" customWidth="1"/>
    <col min="4" max="4" width="26.375" customWidth="1"/>
    <col min="5" max="5" width="24.625" customWidth="1"/>
    <col min="6" max="6" width="38" customWidth="1"/>
    <col min="11" max="14" width="0" hidden="1" customWidth="1"/>
  </cols>
  <sheetData>
    <row r="1" spans="2:12" ht="53.25" customHeight="1">
      <c r="B1" s="16" t="s">
        <v>6</v>
      </c>
      <c r="C1" s="16"/>
      <c r="D1" s="16"/>
      <c r="E1" s="16"/>
      <c r="F1" s="16"/>
    </row>
    <row r="2" spans="2:12" ht="48" customHeight="1" thickBot="1">
      <c r="B2" s="17" t="s">
        <v>97</v>
      </c>
      <c r="C2" s="17"/>
      <c r="D2" s="17"/>
      <c r="E2" s="17"/>
      <c r="F2" s="17"/>
    </row>
    <row r="3" spans="2:12" ht="15.75" thickBot="1">
      <c r="B3" s="18" t="s">
        <v>30</v>
      </c>
      <c r="C3" s="19"/>
      <c r="D3" s="19"/>
      <c r="E3" s="19"/>
      <c r="F3" s="20"/>
    </row>
    <row r="4" spans="2:12" ht="17.25" thickBot="1">
      <c r="B4" s="6" t="s">
        <v>10</v>
      </c>
      <c r="C4" s="24" t="s">
        <v>70</v>
      </c>
      <c r="D4" s="24"/>
      <c r="E4" s="24"/>
      <c r="F4" s="24"/>
    </row>
    <row r="5" spans="2:12" ht="17.25" thickBot="1">
      <c r="B5" s="6" t="s">
        <v>11</v>
      </c>
      <c r="C5" s="24" t="s">
        <v>71</v>
      </c>
      <c r="D5" s="24"/>
      <c r="E5" s="24"/>
      <c r="F5" s="24"/>
    </row>
    <row r="6" spans="2:12" ht="17.25" thickBot="1">
      <c r="B6" s="6" t="s">
        <v>0</v>
      </c>
      <c r="C6" s="24" t="s">
        <v>72</v>
      </c>
      <c r="D6" s="24"/>
      <c r="E6" s="24"/>
      <c r="F6" s="24"/>
    </row>
    <row r="7" spans="2:12" ht="17.25" thickBot="1">
      <c r="B7" s="6" t="s">
        <v>9</v>
      </c>
      <c r="C7" s="24" t="s">
        <v>73</v>
      </c>
      <c r="D7" s="24"/>
      <c r="E7" s="24"/>
      <c r="F7" s="24"/>
    </row>
    <row r="8" spans="2:12" ht="17.25" thickBot="1">
      <c r="B8" s="6" t="s">
        <v>12</v>
      </c>
      <c r="C8" s="24">
        <v>13120395523</v>
      </c>
      <c r="D8" s="24"/>
      <c r="E8" s="24"/>
      <c r="F8" s="24"/>
    </row>
    <row r="9" spans="2:12" ht="17.25" thickBot="1">
      <c r="B9" s="6" t="s">
        <v>1</v>
      </c>
      <c r="C9" s="36" t="s">
        <v>74</v>
      </c>
      <c r="D9" s="24"/>
      <c r="E9" s="24"/>
      <c r="F9" s="24"/>
    </row>
    <row r="10" spans="2:12" ht="17.25" thickBot="1">
      <c r="B10" s="6" t="s">
        <v>13</v>
      </c>
      <c r="C10" s="24" t="s">
        <v>75</v>
      </c>
      <c r="D10" s="24"/>
      <c r="E10" s="24"/>
      <c r="F10" s="24"/>
      <c r="L10" s="7" t="s">
        <v>16</v>
      </c>
    </row>
    <row r="11" spans="2:12" ht="17.25" thickBot="1">
      <c r="B11" s="6" t="s">
        <v>2</v>
      </c>
      <c r="C11" s="28" t="s">
        <v>77</v>
      </c>
      <c r="D11" s="29"/>
      <c r="E11" s="29"/>
      <c r="F11" s="29"/>
      <c r="L11" s="7" t="s">
        <v>17</v>
      </c>
    </row>
    <row r="12" spans="2:12" ht="17.25" customHeight="1" thickBot="1">
      <c r="B12" s="6" t="s">
        <v>14</v>
      </c>
      <c r="C12" s="25" t="s">
        <v>15</v>
      </c>
      <c r="D12" s="26"/>
      <c r="E12" s="26"/>
      <c r="F12" s="27"/>
      <c r="L12" s="7" t="s">
        <v>18</v>
      </c>
    </row>
    <row r="13" spans="2:12" ht="17.25" thickBot="1">
      <c r="B13" s="6" t="s">
        <v>3</v>
      </c>
      <c r="C13" s="24" t="s">
        <v>18</v>
      </c>
      <c r="D13" s="24"/>
      <c r="E13" s="24"/>
      <c r="F13" s="24"/>
    </row>
    <row r="14" spans="2:12" ht="15.75" thickBot="1">
      <c r="B14" s="21" t="s">
        <v>7</v>
      </c>
      <c r="C14" s="22"/>
      <c r="D14" s="22"/>
      <c r="E14" s="22"/>
      <c r="F14" s="23"/>
    </row>
    <row r="15" spans="2:12" ht="51" customHeight="1" thickBot="1">
      <c r="B15" s="53" t="s">
        <v>29</v>
      </c>
      <c r="C15" s="53"/>
      <c r="D15" s="53"/>
      <c r="E15" s="53"/>
      <c r="F15" s="53"/>
    </row>
    <row r="16" spans="2:12" ht="17.25" thickBot="1">
      <c r="B16" s="2" t="s">
        <v>78</v>
      </c>
      <c r="C16" s="1" t="s">
        <v>9</v>
      </c>
      <c r="D16" s="1" t="s">
        <v>8</v>
      </c>
      <c r="E16" s="1" t="s">
        <v>4</v>
      </c>
      <c r="F16" s="3" t="s">
        <v>5</v>
      </c>
    </row>
    <row r="17" spans="2:6" ht="17.25" thickBot="1">
      <c r="B17" s="2" t="s">
        <v>79</v>
      </c>
      <c r="C17" s="12" t="s">
        <v>84</v>
      </c>
      <c r="D17" s="12" t="s">
        <v>85</v>
      </c>
      <c r="E17" s="10">
        <v>13120395523</v>
      </c>
      <c r="F17" s="11" t="s">
        <v>89</v>
      </c>
    </row>
    <row r="18" spans="2:6" ht="17.25" thickBot="1">
      <c r="B18" s="2" t="s">
        <v>80</v>
      </c>
      <c r="C18" s="12" t="s">
        <v>84</v>
      </c>
      <c r="D18" s="12" t="s">
        <v>86</v>
      </c>
      <c r="E18" s="10">
        <v>13269627867</v>
      </c>
      <c r="F18" s="11" t="s">
        <v>96</v>
      </c>
    </row>
    <row r="19" spans="2:6" ht="17.25" thickBot="1">
      <c r="B19" s="2" t="s">
        <v>81</v>
      </c>
      <c r="C19" s="12" t="s">
        <v>84</v>
      </c>
      <c r="D19" s="12" t="s">
        <v>86</v>
      </c>
      <c r="E19" s="10">
        <v>18511870035</v>
      </c>
      <c r="F19" s="11" t="s">
        <v>95</v>
      </c>
    </row>
    <row r="20" spans="2:6" ht="17.25" thickBot="1">
      <c r="B20" s="2" t="s">
        <v>82</v>
      </c>
      <c r="C20" s="12" t="s">
        <v>84</v>
      </c>
      <c r="D20" s="12" t="s">
        <v>87</v>
      </c>
      <c r="E20" s="10">
        <v>15311474053</v>
      </c>
      <c r="F20" s="11" t="s">
        <v>94</v>
      </c>
    </row>
    <row r="21" spans="2:6" ht="17.25" thickBot="1">
      <c r="B21" s="2" t="s">
        <v>83</v>
      </c>
      <c r="C21" s="12" t="s">
        <v>84</v>
      </c>
      <c r="D21" s="4" t="s">
        <v>88</v>
      </c>
      <c r="E21" s="10">
        <v>13810196881</v>
      </c>
      <c r="F21" s="11" t="s">
        <v>93</v>
      </c>
    </row>
    <row r="22" spans="2:6" ht="15.75" thickBot="1">
      <c r="B22" s="48" t="s">
        <v>31</v>
      </c>
      <c r="C22" s="49"/>
      <c r="D22" s="49"/>
      <c r="E22" s="49"/>
      <c r="F22" s="50"/>
    </row>
    <row r="23" spans="2:6" ht="20.25" customHeight="1">
      <c r="B23" s="37" t="s">
        <v>63</v>
      </c>
      <c r="C23" s="38"/>
      <c r="D23" s="38"/>
      <c r="E23" s="38"/>
      <c r="F23" s="38"/>
    </row>
    <row r="24" spans="2:6" ht="48.75" customHeight="1" thickBot="1">
      <c r="B24" s="39" t="s">
        <v>76</v>
      </c>
      <c r="C24" s="39"/>
      <c r="D24" s="39"/>
      <c r="E24" s="39"/>
      <c r="F24" s="39"/>
    </row>
    <row r="25" spans="2:6" ht="17.25" thickBot="1">
      <c r="B25" s="9" t="s">
        <v>20</v>
      </c>
      <c r="C25" s="30" t="s">
        <v>92</v>
      </c>
      <c r="D25" s="31"/>
      <c r="E25" s="31"/>
      <c r="F25" s="32"/>
    </row>
    <row r="26" spans="2:6" ht="16.5" customHeight="1">
      <c r="B26" s="33" t="s">
        <v>19</v>
      </c>
      <c r="C26" s="34"/>
      <c r="D26" s="34"/>
      <c r="E26" s="34"/>
      <c r="F26" s="35"/>
    </row>
    <row r="27" spans="2:6" ht="17.25" customHeight="1">
      <c r="B27" s="41" t="s">
        <v>91</v>
      </c>
      <c r="C27" s="42"/>
      <c r="D27" s="42"/>
      <c r="E27" s="42"/>
      <c r="F27" s="43"/>
    </row>
    <row r="28" spans="2:6" ht="15" customHeight="1">
      <c r="B28" s="41"/>
      <c r="C28" s="42"/>
      <c r="D28" s="42"/>
      <c r="E28" s="42"/>
      <c r="F28" s="43"/>
    </row>
    <row r="29" spans="2:6" ht="15" customHeight="1">
      <c r="B29" s="41"/>
      <c r="C29" s="42"/>
      <c r="D29" s="42"/>
      <c r="E29" s="42"/>
      <c r="F29" s="43"/>
    </row>
    <row r="30" spans="2:6" ht="15" customHeight="1">
      <c r="B30" s="41"/>
      <c r="C30" s="42"/>
      <c r="D30" s="42"/>
      <c r="E30" s="42"/>
      <c r="F30" s="43"/>
    </row>
    <row r="31" spans="2:6" ht="243.75" customHeight="1" thickBot="1">
      <c r="B31" s="44"/>
      <c r="C31" s="45"/>
      <c r="D31" s="45"/>
      <c r="E31" s="45"/>
      <c r="F31" s="46"/>
    </row>
    <row r="32" spans="2:6" ht="15">
      <c r="B32" s="37" t="s">
        <v>21</v>
      </c>
      <c r="C32" s="38"/>
      <c r="D32" s="38"/>
      <c r="E32" s="38"/>
      <c r="F32" s="38"/>
    </row>
    <row r="33" spans="2:6" ht="71.25" customHeight="1" thickBot="1">
      <c r="B33" s="39" t="s">
        <v>23</v>
      </c>
      <c r="C33" s="39"/>
      <c r="D33" s="39"/>
      <c r="E33" s="39"/>
      <c r="F33" s="39"/>
    </row>
    <row r="34" spans="2:6">
      <c r="B34" s="40" t="s">
        <v>66</v>
      </c>
      <c r="C34" s="34"/>
      <c r="D34" s="34"/>
      <c r="E34" s="34"/>
      <c r="F34" s="35"/>
    </row>
    <row r="35" spans="2:6">
      <c r="B35" s="41"/>
      <c r="C35" s="42"/>
      <c r="D35" s="42"/>
      <c r="E35" s="42"/>
      <c r="F35" s="43"/>
    </row>
    <row r="36" spans="2:6">
      <c r="B36" s="41"/>
      <c r="C36" s="42"/>
      <c r="D36" s="42"/>
      <c r="E36" s="42"/>
      <c r="F36" s="43"/>
    </row>
    <row r="37" spans="2:6">
      <c r="B37" s="41"/>
      <c r="C37" s="42"/>
      <c r="D37" s="42"/>
      <c r="E37" s="42"/>
      <c r="F37" s="43"/>
    </row>
    <row r="38" spans="2:6" ht="108" customHeight="1" thickBot="1">
      <c r="B38" s="44"/>
      <c r="C38" s="45"/>
      <c r="D38" s="45"/>
      <c r="E38" s="45"/>
      <c r="F38" s="46"/>
    </row>
    <row r="39" spans="2:6" ht="15">
      <c r="B39" s="37" t="s">
        <v>22</v>
      </c>
      <c r="C39" s="38"/>
      <c r="D39" s="38"/>
      <c r="E39" s="38"/>
      <c r="F39" s="38"/>
    </row>
    <row r="40" spans="2:6" ht="164.25" customHeight="1" thickBot="1">
      <c r="B40" s="39" t="s">
        <v>65</v>
      </c>
      <c r="C40" s="39"/>
      <c r="D40" s="39"/>
      <c r="E40" s="39"/>
      <c r="F40" s="39"/>
    </row>
    <row r="41" spans="2:6">
      <c r="B41" s="40" t="s">
        <v>69</v>
      </c>
      <c r="C41" s="34"/>
      <c r="D41" s="34"/>
      <c r="E41" s="34"/>
      <c r="F41" s="35"/>
    </row>
    <row r="42" spans="2:6">
      <c r="B42" s="41"/>
      <c r="C42" s="42"/>
      <c r="D42" s="42"/>
      <c r="E42" s="42"/>
      <c r="F42" s="43"/>
    </row>
    <row r="43" spans="2:6">
      <c r="B43" s="41"/>
      <c r="C43" s="42"/>
      <c r="D43" s="42"/>
      <c r="E43" s="42"/>
      <c r="F43" s="43"/>
    </row>
    <row r="44" spans="2:6">
      <c r="B44" s="41"/>
      <c r="C44" s="42"/>
      <c r="D44" s="42"/>
      <c r="E44" s="42"/>
      <c r="F44" s="43"/>
    </row>
    <row r="45" spans="2:6" ht="93" customHeight="1" thickBot="1">
      <c r="B45" s="44"/>
      <c r="C45" s="45"/>
      <c r="D45" s="45"/>
      <c r="E45" s="45"/>
      <c r="F45" s="46"/>
    </row>
    <row r="46" spans="2:6" s="8" customFormat="1" ht="15">
      <c r="B46" s="37" t="s">
        <v>24</v>
      </c>
      <c r="C46" s="38"/>
      <c r="D46" s="38"/>
      <c r="E46" s="38"/>
      <c r="F46" s="38"/>
    </row>
    <row r="47" spans="2:6" s="8" customFormat="1" ht="39.75" customHeight="1" thickBot="1">
      <c r="B47" s="39" t="s">
        <v>25</v>
      </c>
      <c r="C47" s="39"/>
      <c r="D47" s="39"/>
      <c r="E47" s="39"/>
      <c r="F47" s="39"/>
    </row>
    <row r="48" spans="2:6">
      <c r="B48" s="40" t="s">
        <v>67</v>
      </c>
      <c r="C48" s="34"/>
      <c r="D48" s="34"/>
      <c r="E48" s="34"/>
      <c r="F48" s="35"/>
    </row>
    <row r="49" spans="2:6">
      <c r="B49" s="41"/>
      <c r="C49" s="42"/>
      <c r="D49" s="42"/>
      <c r="E49" s="42"/>
      <c r="F49" s="43"/>
    </row>
    <row r="50" spans="2:6">
      <c r="B50" s="41"/>
      <c r="C50" s="42"/>
      <c r="D50" s="42"/>
      <c r="E50" s="42"/>
      <c r="F50" s="43"/>
    </row>
    <row r="51" spans="2:6">
      <c r="B51" s="41"/>
      <c r="C51" s="42"/>
      <c r="D51" s="42"/>
      <c r="E51" s="42"/>
      <c r="F51" s="43"/>
    </row>
    <row r="52" spans="2:6" ht="60.75" customHeight="1" thickBot="1">
      <c r="B52" s="44"/>
      <c r="C52" s="45"/>
      <c r="D52" s="45"/>
      <c r="E52" s="45"/>
      <c r="F52" s="46"/>
    </row>
    <row r="53" spans="2:6" s="8" customFormat="1" ht="15">
      <c r="B53" s="37" t="s">
        <v>64</v>
      </c>
      <c r="C53" s="38"/>
      <c r="D53" s="38"/>
      <c r="E53" s="38"/>
      <c r="F53" s="38"/>
    </row>
    <row r="54" spans="2:6" s="8" customFormat="1" ht="51.75" customHeight="1" thickBot="1">
      <c r="B54" s="39" t="s">
        <v>26</v>
      </c>
      <c r="C54" s="39"/>
      <c r="D54" s="39"/>
      <c r="E54" s="39"/>
      <c r="F54" s="39"/>
    </row>
    <row r="55" spans="2:6">
      <c r="B55" s="40" t="s">
        <v>68</v>
      </c>
      <c r="C55" s="34"/>
      <c r="D55" s="34"/>
      <c r="E55" s="34"/>
      <c r="F55" s="35"/>
    </row>
    <row r="56" spans="2:6">
      <c r="B56" s="41"/>
      <c r="C56" s="42"/>
      <c r="D56" s="42"/>
      <c r="E56" s="42"/>
      <c r="F56" s="43"/>
    </row>
    <row r="57" spans="2:6">
      <c r="B57" s="41"/>
      <c r="C57" s="42"/>
      <c r="D57" s="42"/>
      <c r="E57" s="42"/>
      <c r="F57" s="43"/>
    </row>
    <row r="58" spans="2:6">
      <c r="B58" s="41"/>
      <c r="C58" s="42"/>
      <c r="D58" s="42"/>
      <c r="E58" s="42"/>
      <c r="F58" s="43"/>
    </row>
    <row r="59" spans="2:6" ht="14.25" thickBot="1">
      <c r="B59" s="44"/>
      <c r="C59" s="45"/>
      <c r="D59" s="45"/>
      <c r="E59" s="45"/>
      <c r="F59" s="46"/>
    </row>
    <row r="60" spans="2:6" ht="15">
      <c r="B60" s="37" t="s">
        <v>27</v>
      </c>
      <c r="C60" s="38"/>
      <c r="D60" s="38"/>
      <c r="E60" s="38"/>
      <c r="F60" s="38"/>
    </row>
    <row r="61" spans="2:6" ht="17.25" thickBot="1">
      <c r="B61" s="39" t="s">
        <v>28</v>
      </c>
      <c r="C61" s="39"/>
      <c r="D61" s="39"/>
      <c r="E61" s="39"/>
      <c r="F61" s="39"/>
    </row>
    <row r="62" spans="2:6">
      <c r="B62" s="40" t="s">
        <v>90</v>
      </c>
      <c r="C62" s="34"/>
      <c r="D62" s="34"/>
      <c r="E62" s="34"/>
      <c r="F62" s="35"/>
    </row>
    <row r="63" spans="2:6">
      <c r="B63" s="41"/>
      <c r="C63" s="42"/>
      <c r="D63" s="42"/>
      <c r="E63" s="42"/>
      <c r="F63" s="43"/>
    </row>
    <row r="64" spans="2:6">
      <c r="B64" s="41"/>
      <c r="C64" s="42"/>
      <c r="D64" s="42"/>
      <c r="E64" s="42"/>
      <c r="F64" s="43"/>
    </row>
    <row r="65" spans="2:6">
      <c r="B65" s="41"/>
      <c r="C65" s="42"/>
      <c r="D65" s="42"/>
      <c r="E65" s="42"/>
      <c r="F65" s="43"/>
    </row>
    <row r="66" spans="2:6" ht="14.25" thickBot="1">
      <c r="B66" s="44"/>
      <c r="C66" s="45"/>
      <c r="D66" s="45"/>
      <c r="E66" s="45"/>
      <c r="F66" s="46"/>
    </row>
    <row r="67" spans="2:6" ht="17.25" customHeight="1" thickBot="1">
      <c r="B67" s="54" t="s">
        <v>32</v>
      </c>
      <c r="C67" s="49"/>
      <c r="D67" s="49"/>
      <c r="E67" s="49"/>
      <c r="F67" s="50"/>
    </row>
    <row r="68" spans="2:6" ht="173.25" customHeight="1">
      <c r="B68" s="51" t="s">
        <v>33</v>
      </c>
      <c r="C68" s="52"/>
      <c r="D68" s="52"/>
      <c r="E68" s="52"/>
      <c r="F68" s="52"/>
    </row>
    <row r="69" spans="2:6" ht="342.75" customHeight="1" thickBot="1">
      <c r="B69" s="47" t="s">
        <v>62</v>
      </c>
      <c r="C69" s="47"/>
      <c r="D69" s="47"/>
      <c r="E69" s="47"/>
      <c r="F69" s="47"/>
    </row>
    <row r="70" spans="2:6" ht="23.25" customHeight="1">
      <c r="B70" s="13" t="s">
        <v>34</v>
      </c>
      <c r="C70" s="13"/>
      <c r="D70" s="13"/>
      <c r="E70" s="13"/>
      <c r="F70" s="13"/>
    </row>
    <row r="71" spans="2:6" ht="21.75" customHeight="1">
      <c r="B71" s="14" t="s">
        <v>35</v>
      </c>
      <c r="C71" s="14"/>
      <c r="D71" s="14"/>
      <c r="E71" s="14"/>
      <c r="F71" s="14"/>
    </row>
    <row r="72" spans="2:6" ht="27" customHeight="1" thickBot="1">
      <c r="B72" s="15" t="s">
        <v>36</v>
      </c>
      <c r="C72" s="15"/>
      <c r="D72" s="15"/>
      <c r="E72" s="15"/>
      <c r="F72" s="15"/>
    </row>
  </sheetData>
  <mergeCells count="42">
    <mergeCell ref="B69:F69"/>
    <mergeCell ref="B22:F22"/>
    <mergeCell ref="B68:F68"/>
    <mergeCell ref="B62:F66"/>
    <mergeCell ref="B15:F15"/>
    <mergeCell ref="B67:F67"/>
    <mergeCell ref="B54:F54"/>
    <mergeCell ref="B55:F59"/>
    <mergeCell ref="B60:F60"/>
    <mergeCell ref="B61:F61"/>
    <mergeCell ref="B46:F46"/>
    <mergeCell ref="B47:F47"/>
    <mergeCell ref="B48:F52"/>
    <mergeCell ref="B53:F53"/>
    <mergeCell ref="B34:F38"/>
    <mergeCell ref="B39:F39"/>
    <mergeCell ref="B40:F40"/>
    <mergeCell ref="B41:F45"/>
    <mergeCell ref="B27:F31"/>
    <mergeCell ref="B32:F32"/>
    <mergeCell ref="B33:F33"/>
    <mergeCell ref="C8:F8"/>
    <mergeCell ref="C10:F10"/>
    <mergeCell ref="C9:F9"/>
    <mergeCell ref="B23:F23"/>
    <mergeCell ref="B24:F24"/>
    <mergeCell ref="B70:F70"/>
    <mergeCell ref="B71:F71"/>
    <mergeCell ref="B72:F72"/>
    <mergeCell ref="B1:F1"/>
    <mergeCell ref="B2:F2"/>
    <mergeCell ref="B3:F3"/>
    <mergeCell ref="B14:F14"/>
    <mergeCell ref="C13:F13"/>
    <mergeCell ref="C12:F12"/>
    <mergeCell ref="C11:F11"/>
    <mergeCell ref="C4:F4"/>
    <mergeCell ref="C5:F5"/>
    <mergeCell ref="C6:F6"/>
    <mergeCell ref="C25:F25"/>
    <mergeCell ref="B26:F26"/>
    <mergeCell ref="C7:F7"/>
  </mergeCells>
  <phoneticPr fontId="11" type="noConversion"/>
  <dataValidations count="1">
    <dataValidation type="list" allowBlank="1" showInputMessage="1" showErrorMessage="1" sqref="C13:F13">
      <formula1>$L$10:$L$12</formula1>
    </dataValidation>
  </dataValidations>
  <hyperlinks>
    <hyperlink ref="C9" r:id="rId1"/>
    <hyperlink ref="C11" r:id="rId2"/>
    <hyperlink ref="F17" r:id="rId3"/>
    <hyperlink ref="F21" r:id="rId4"/>
    <hyperlink ref="F20" r:id="rId5"/>
    <hyperlink ref="F19" r:id="rId6"/>
    <hyperlink ref="F18" r:id="rId7"/>
  </hyperlinks>
  <pageMargins left="0.7" right="0.7" top="0.75" bottom="0.75" header="0.3" footer="0.3"/>
  <pageSetup paperSize="9" orientation="portrait" r:id="rId8"/>
  <drawing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
  <sheetViews>
    <sheetView workbookViewId="0"/>
  </sheetViews>
  <sheetFormatPr defaultRowHeight="13.5"/>
  <cols>
    <col min="1" max="2" width="16.25" bestFit="1" customWidth="1"/>
    <col min="3" max="7" width="11.875" bestFit="1" customWidth="1"/>
    <col min="8" max="8" width="20.75" bestFit="1" customWidth="1"/>
    <col min="9" max="9" width="17.125" bestFit="1" customWidth="1"/>
    <col min="10" max="10" width="11.875" bestFit="1" customWidth="1"/>
    <col min="11" max="11" width="9.75" bestFit="1" customWidth="1"/>
    <col min="12" max="12" width="12.875" bestFit="1" customWidth="1"/>
    <col min="13" max="13" width="13.75" bestFit="1" customWidth="1"/>
    <col min="14" max="14" width="8.625" bestFit="1" customWidth="1"/>
    <col min="15" max="15" width="19.75" bestFit="1" customWidth="1"/>
    <col min="16" max="16" width="9.75" bestFit="1" customWidth="1"/>
    <col min="17" max="17" width="12.875" bestFit="1" customWidth="1"/>
    <col min="18" max="18" width="13.75" bestFit="1" customWidth="1"/>
    <col min="19" max="19" width="8.625" bestFit="1" customWidth="1"/>
    <col min="20" max="20" width="19.75" bestFit="1" customWidth="1"/>
    <col min="21" max="21" width="9.75" bestFit="1" customWidth="1"/>
    <col min="22" max="22" width="12.875" bestFit="1" customWidth="1"/>
    <col min="23" max="23" width="13.75" bestFit="1" customWidth="1"/>
    <col min="24" max="24" width="8.625" bestFit="1" customWidth="1"/>
    <col min="25" max="25" width="20.75" bestFit="1" customWidth="1"/>
    <col min="26" max="26" width="9.75" bestFit="1" customWidth="1"/>
    <col min="27" max="27" width="13.875" bestFit="1" customWidth="1"/>
    <col min="28" max="28" width="15.75" customWidth="1"/>
    <col min="29" max="29" width="9.625" bestFit="1" customWidth="1"/>
    <col min="30" max="30" width="20.75" bestFit="1" customWidth="1"/>
    <col min="31" max="31" width="7.625" bestFit="1" customWidth="1"/>
    <col min="32" max="32" width="13.875" bestFit="1" customWidth="1"/>
    <col min="33" max="33" width="14.75" bestFit="1" customWidth="1"/>
    <col min="34" max="34" width="9.625" bestFit="1" customWidth="1"/>
    <col min="35" max="35" width="20.75" bestFit="1" customWidth="1"/>
  </cols>
  <sheetData>
    <row r="1" spans="1:35">
      <c r="A1" t="s">
        <v>10</v>
      </c>
      <c r="B1" t="s">
        <v>11</v>
      </c>
      <c r="C1" t="s">
        <v>0</v>
      </c>
      <c r="D1" t="s">
        <v>9</v>
      </c>
      <c r="E1" t="s">
        <v>12</v>
      </c>
      <c r="F1" t="s">
        <v>1</v>
      </c>
      <c r="G1" t="s">
        <v>13</v>
      </c>
      <c r="H1" t="s">
        <v>2</v>
      </c>
      <c r="I1" t="s">
        <v>14</v>
      </c>
      <c r="J1" t="s">
        <v>3</v>
      </c>
      <c r="K1" t="s">
        <v>37</v>
      </c>
      <c r="L1" t="s">
        <v>49</v>
      </c>
      <c r="M1" t="s">
        <v>50</v>
      </c>
      <c r="N1" t="s">
        <v>51</v>
      </c>
      <c r="O1" t="s">
        <v>52</v>
      </c>
      <c r="P1" t="s">
        <v>38</v>
      </c>
      <c r="Q1" t="s">
        <v>42</v>
      </c>
      <c r="R1" t="s">
        <v>53</v>
      </c>
      <c r="S1" t="s">
        <v>54</v>
      </c>
      <c r="T1" t="s">
        <v>55</v>
      </c>
      <c r="U1" t="s">
        <v>39</v>
      </c>
      <c r="V1" t="s">
        <v>43</v>
      </c>
      <c r="W1" t="s">
        <v>46</v>
      </c>
      <c r="X1" t="s">
        <v>47</v>
      </c>
      <c r="Y1" t="s">
        <v>48</v>
      </c>
      <c r="Z1" t="s">
        <v>40</v>
      </c>
      <c r="AA1" t="s">
        <v>56</v>
      </c>
      <c r="AB1" t="s">
        <v>44</v>
      </c>
      <c r="AC1" t="s">
        <v>57</v>
      </c>
      <c r="AD1" t="s">
        <v>58</v>
      </c>
      <c r="AE1" t="s">
        <v>41</v>
      </c>
      <c r="AF1" t="s">
        <v>59</v>
      </c>
      <c r="AG1" t="s">
        <v>60</v>
      </c>
      <c r="AH1" t="s">
        <v>45</v>
      </c>
      <c r="AI1" t="s">
        <v>61</v>
      </c>
    </row>
    <row r="2" spans="1:35">
      <c r="A2" t="str">
        <f>中国区项目计划书!C4</f>
        <v>DogePlus</v>
      </c>
      <c r="B2" t="str">
        <f>中国区项目计划书!C5</f>
        <v>基于Kinect的交互式广告展示</v>
      </c>
      <c r="C2" t="str">
        <f>中国区项目计划书!C6</f>
        <v>刘宸</v>
      </c>
      <c r="D2" t="str">
        <f>中国区项目计划书!C7</f>
        <v>北京邮电大学</v>
      </c>
      <c r="E2">
        <f>中国区项目计划书!C8</f>
        <v>13120395523</v>
      </c>
      <c r="F2" t="str">
        <f>中国区项目计划书!C9</f>
        <v>cyoc@foxmail.com</v>
      </c>
      <c r="G2" t="str">
        <f>中国区项目计划书!C10</f>
        <v>北京市海淀区西土城路10号北京邮电大学</v>
      </c>
      <c r="H2" t="str">
        <f>中国区项目计划书!C11</f>
        <v>dogeplus@126.com</v>
      </c>
      <c r="I2" t="str">
        <f>中国区项目计划书!C12</f>
        <v>(如果参加了区域选拔赛，请填写所参赛的区域或校区；未参加区域选拔赛的团队请忽略此项)</v>
      </c>
      <c r="J2" t="str">
        <f>中国区项目计划书!C13</f>
        <v>最佳创新（Innovation）</v>
      </c>
      <c r="K2" t="str">
        <f>中国区项目计划书!B17</f>
        <v>刘宸</v>
      </c>
      <c r="L2" t="str">
        <f>中国区项目计划书!C17</f>
        <v>北京邮电大学</v>
      </c>
      <c r="M2" t="str">
        <f>中国区项目计划书!D17</f>
        <v>数字媒体与设计艺术学院/2013级</v>
      </c>
      <c r="N2">
        <f>中国区项目计划书!E17</f>
        <v>13120395523</v>
      </c>
      <c r="O2" t="str">
        <f>中国区项目计划书!F17</f>
        <v>cyocliu@outlook.com</v>
      </c>
      <c r="P2" t="str">
        <f>中国区项目计划书!B18</f>
        <v>吕佳</v>
      </c>
      <c r="Q2" t="str">
        <f>中国区项目计划书!C18</f>
        <v>北京邮电大学</v>
      </c>
      <c r="R2" t="str">
        <f>中国区项目计划书!D18</f>
        <v>数字媒体与设计艺术学院/2013级</v>
      </c>
      <c r="S2">
        <f>中国区项目计划书!E18</f>
        <v>13269627867</v>
      </c>
      <c r="T2" t="str">
        <f>中国区项目计划书!F18</f>
        <v>yogalv@hotmail.com</v>
      </c>
      <c r="U2" t="str">
        <f>中国区项目计划书!B19</f>
        <v>杨丹雯</v>
      </c>
      <c r="V2" t="str">
        <f>中国区项目计划书!C19</f>
        <v>北京邮电大学</v>
      </c>
      <c r="W2" t="str">
        <f>中国区项目计划书!D19</f>
        <v>数字媒体与设计艺术学院/2013级</v>
      </c>
      <c r="X2">
        <f>中国区项目计划书!E19</f>
        <v>18511870035</v>
      </c>
      <c r="Y2" t="str">
        <f>中国区项目计划书!F19</f>
        <v>zoeyangdw@hotmail.com</v>
      </c>
      <c r="Z2" t="str">
        <f>中国区项目计划书!B20</f>
        <v>章达闻</v>
      </c>
      <c r="AA2" t="str">
        <f>中国区项目计划书!C20</f>
        <v>北京邮电大学</v>
      </c>
      <c r="AB2" t="str">
        <f>中国区项目计划书!D20</f>
        <v>数字媒体与设计艺术学院/2013级</v>
      </c>
      <c r="AC2">
        <f>中国区项目计划书!E20</f>
        <v>15311474053</v>
      </c>
      <c r="AD2" t="str">
        <f>中国区项目计划书!F20</f>
        <v>zdwchang@gmail.com</v>
      </c>
      <c r="AE2" t="str">
        <f>中国区项目计划书!B21</f>
        <v>&lt;导师&gt;李萌</v>
      </c>
      <c r="AF2" t="str">
        <f>中国区项目计划书!C21</f>
        <v>北京邮电大学</v>
      </c>
      <c r="AG2" t="str">
        <f>中国区项目计划书!D21</f>
        <v>数字媒体与设计艺术学院</v>
      </c>
      <c r="AH2">
        <f>中国区项目计划书!E21</f>
        <v>13810196881</v>
      </c>
      <c r="AI2" t="str">
        <f>中国区项目计划书!F21</f>
        <v>thisislimeng@foxmail.com</v>
      </c>
    </row>
  </sheetData>
  <phoneticPr fontId="11"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中国区项目计划书</vt:lpstr>
      <vt:lpstr>汇总</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2015-12-31T05:38:37Z</dcterms:modified>
</cp:coreProperties>
</file>